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试产与良率" sheetId="1" state="visible" r:id="rId1"/>
    <sheet name="问题关闭" sheetId="2" state="visible" r:id="rId2"/>
    <sheet name="发布就绪确认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i val="1"/>
      <color rgb="0074808C"/>
      <sz val="9"/>
    </font>
    <font>
      <name val="Microsoft YaHei"/>
      <b val="1"/>
      <color rgb="001B232E"/>
      <sz val="11"/>
    </font>
    <font>
      <name val="Microsoft YaHei"/>
      <color rgb="001B232E"/>
      <sz val="10"/>
    </font>
    <font>
      <name val="Microsoft YaHei"/>
      <b val="1"/>
      <color rgb="00FFFFFF"/>
      <sz val="11"/>
    </font>
    <font>
      <name val="Microsoft YaHei"/>
      <i val="1"/>
      <color rgb="009AA6B2"/>
      <sz val="9.5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C5FA8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0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164" fontId="5" fillId="0" borderId="1" applyAlignment="1" pivotButton="0" quotePrefix="0" xfId="0">
      <alignment vertical="top" wrapText="1"/>
    </xf>
    <xf numFmtId="164" fontId="4" fillId="0" borderId="1" pivotButton="0" quotePrefix="0" xfId="0"/>
    <xf numFmtId="0" fontId="7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0" customWidth="1" min="4" max="4"/>
    <col width="34" customWidth="1" min="5" max="5"/>
  </cols>
  <sheetData>
    <row r="1" ht="30" customHeight="1">
      <c r="A1" s="1" t="inlineStr">
        <is>
          <t>升级后良率报告</t>
        </is>
      </c>
    </row>
    <row r="2">
      <c r="A2" s="2" t="inlineStr">
        <is>
          <t>F08 试产与良率报告 · 适用：DRV·P6</t>
        </is>
      </c>
    </row>
    <row r="3">
      <c r="A3" s="3" t="inlineStr">
        <is>
          <t>FPY/RTY 自动计算；关键异常填「问题关闭」sheet，发布看「就绪确认」。</t>
        </is>
      </c>
    </row>
    <row r="4" ht="22" customHeight="1">
      <c r="A4" s="4" t="inlineStr">
        <is>
          <t>项目编号</t>
        </is>
      </c>
      <c r="B4" s="4" t="inlineStr">
        <is>
          <t>项目名称</t>
        </is>
      </c>
      <c r="C4" s="4" t="inlineStr">
        <is>
          <t>负责人</t>
        </is>
      </c>
      <c r="D4" s="4" t="inlineStr">
        <is>
          <t>日期</t>
        </is>
      </c>
      <c r="E4" s="5" t="n"/>
    </row>
    <row r="6" ht="22" customHeight="1">
      <c r="A6" s="4" t="inlineStr">
        <is>
          <t>试产批量</t>
        </is>
      </c>
      <c r="B6" s="6" t="inlineStr"/>
      <c r="C6" s="4" t="inlineStr">
        <is>
          <t>产线 / 班组</t>
        </is>
      </c>
      <c r="D6" s="5" t="n"/>
      <c r="E6" s="5" t="n"/>
    </row>
    <row r="7" ht="22" customHeight="1">
      <c r="A7" s="4" t="inlineStr">
        <is>
          <t>试产日期</t>
        </is>
      </c>
      <c r="B7" s="6" t="inlineStr"/>
      <c r="C7" s="4" t="inlineStr">
        <is>
          <t>目标良率</t>
        </is>
      </c>
      <c r="D7" s="5" t="n"/>
      <c r="E7" s="5" t="n"/>
    </row>
    <row r="9">
      <c r="A9" s="7" t="inlineStr">
        <is>
          <t>工位</t>
        </is>
      </c>
      <c r="B9" s="7" t="inlineStr">
        <is>
          <t>投入</t>
        </is>
      </c>
      <c r="C9" s="7" t="inlineStr">
        <is>
          <t>不良</t>
        </is>
      </c>
      <c r="D9" s="7" t="inlineStr">
        <is>
          <t>FPY</t>
        </is>
      </c>
      <c r="E9" s="7" t="inlineStr">
        <is>
          <t>TOP 不良现象</t>
        </is>
      </c>
    </row>
    <row r="10" ht="20" customHeight="1">
      <c r="A10" s="4" t="inlineStr">
        <is>
          <t>SMT / PCBA</t>
        </is>
      </c>
      <c r="B10" s="8" t="n"/>
      <c r="C10" s="8" t="n"/>
      <c r="D10" s="9">
        <f>IF(N(B10)=0,"",1-C10/B10)</f>
        <v/>
      </c>
      <c r="E10" s="8" t="n"/>
    </row>
    <row r="11" ht="20" customHeight="1">
      <c r="A11" s="4" t="inlineStr">
        <is>
          <t>半成品组装</t>
        </is>
      </c>
      <c r="B11" s="8" t="n"/>
      <c r="C11" s="8" t="n"/>
      <c r="D11" s="9">
        <f>IF(N(B11)=0,"",1-C11/B11)</f>
        <v/>
      </c>
      <c r="E11" s="8" t="n"/>
    </row>
    <row r="12" ht="20" customHeight="1">
      <c r="A12" s="4" t="inlineStr">
        <is>
          <t>整机组装</t>
        </is>
      </c>
      <c r="B12" s="8" t="n"/>
      <c r="C12" s="8" t="n"/>
      <c r="D12" s="9">
        <f>IF(N(B12)=0,"",1-C12/B12)</f>
        <v/>
      </c>
      <c r="E12" s="8" t="n"/>
    </row>
    <row r="13" ht="20" customHeight="1">
      <c r="A13" s="4" t="inlineStr">
        <is>
          <t>整机 EOL 100% 测试</t>
        </is>
      </c>
      <c r="B13" s="8" t="n"/>
      <c r="C13" s="8" t="n"/>
      <c r="D13" s="9">
        <f>IF(N(B13)=0,"",1-C13/B13)</f>
        <v/>
      </c>
      <c r="E13" s="8" t="n"/>
    </row>
    <row r="14" ht="20" customHeight="1">
      <c r="A14" s="4" t="inlineStr">
        <is>
          <t>包装</t>
        </is>
      </c>
      <c r="B14" s="8" t="n"/>
      <c r="C14" s="8" t="n"/>
      <c r="D14" s="9">
        <f>IF(N(B14)=0,"",1-C14/B14)</f>
        <v/>
      </c>
      <c r="E14" s="8" t="n"/>
    </row>
    <row r="15">
      <c r="A15" s="4" t="inlineStr">
        <is>
          <t>直通率 RTY</t>
        </is>
      </c>
      <c r="B15" s="5" t="n"/>
      <c r="C15" s="5" t="n"/>
      <c r="D15" s="10">
        <f>IF(COUNT(D10:D14)=0,"",PRODUCT(D10:D14))</f>
        <v/>
      </c>
      <c r="E15" s="5" t="n"/>
    </row>
  </sheetData>
  <mergeCells count="6">
    <mergeCell ref="D6:E6"/>
    <mergeCell ref="D7:E7"/>
    <mergeCell ref="A2:E2"/>
    <mergeCell ref="E4"/>
    <mergeCell ref="A1:E1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6" customWidth="1" min="3" max="3"/>
    <col width="10" customWidth="1" min="4" max="4"/>
    <col width="24" customWidth="1" min="5" max="5"/>
    <col width="12" customWidth="1" min="6" max="6"/>
    <col width="12" customWidth="1" min="7" max="7"/>
  </cols>
  <sheetData>
    <row r="1">
      <c r="A1" s="7" t="inlineStr">
        <is>
          <t>编号</t>
        </is>
      </c>
      <c r="B1" s="7" t="inlineStr">
        <is>
          <t>工位</t>
        </is>
      </c>
      <c r="C1" s="7" t="inlineStr">
        <is>
          <t>不良现象 / 根因</t>
        </is>
      </c>
      <c r="D1" s="7" t="inlineStr">
        <is>
          <t>数量</t>
        </is>
      </c>
      <c r="E1" s="7" t="inlineStr">
        <is>
          <t>对策</t>
        </is>
      </c>
      <c r="F1" s="7" t="inlineStr">
        <is>
          <t>验证结果</t>
        </is>
      </c>
      <c r="G1" s="7" t="inlineStr">
        <is>
          <t>状态</t>
        </is>
      </c>
    </row>
    <row r="2" ht="20" customHeight="1">
      <c r="A2" s="11" t="inlineStr">
        <is>
          <t>ISS-01</t>
        </is>
      </c>
      <c r="B2" s="11" t="inlineStr">
        <is>
          <t>组装</t>
        </is>
      </c>
      <c r="C2" s="11" t="inlineStr">
        <is>
          <t>示例：风道卡扣断裂；模内应力集中</t>
        </is>
      </c>
      <c r="D2" s="11" t="n">
        <v>4</v>
      </c>
      <c r="E2" s="11" t="inlineStr">
        <is>
          <t>修模加 R 角，装配治具限位</t>
        </is>
      </c>
      <c r="F2" s="11" t="inlineStr">
        <is>
          <t>复测通过</t>
        </is>
      </c>
      <c r="G2" s="11" t="inlineStr">
        <is>
          <t>已关闭</t>
        </is>
      </c>
    </row>
    <row r="3" ht="20" customHeight="1">
      <c r="A3" s="8" t="n"/>
      <c r="B3" s="8" t="n"/>
      <c r="C3" s="8" t="n"/>
      <c r="D3" s="8" t="n"/>
      <c r="E3" s="8" t="n"/>
      <c r="F3" s="8" t="n"/>
      <c r="G3" s="8" t="n"/>
    </row>
    <row r="4" ht="20" customHeight="1">
      <c r="A4" s="8" t="n"/>
      <c r="B4" s="8" t="n"/>
      <c r="C4" s="8" t="n"/>
      <c r="D4" s="8" t="n"/>
      <c r="E4" s="8" t="n"/>
      <c r="F4" s="8" t="n"/>
      <c r="G4" s="8" t="n"/>
    </row>
    <row r="5" ht="20" customHeight="1">
      <c r="A5" s="8" t="n"/>
      <c r="B5" s="8" t="n"/>
      <c r="C5" s="8" t="n"/>
      <c r="D5" s="8" t="n"/>
      <c r="E5" s="8" t="n"/>
      <c r="F5" s="8" t="n"/>
      <c r="G5" s="8" t="n"/>
    </row>
    <row r="6" ht="20" customHeight="1">
      <c r="A6" s="8" t="n"/>
      <c r="B6" s="8" t="n"/>
      <c r="C6" s="8" t="n"/>
      <c r="D6" s="8" t="n"/>
      <c r="E6" s="8" t="n"/>
      <c r="F6" s="8" t="n"/>
      <c r="G6" s="8" t="n"/>
    </row>
    <row r="7" ht="20" customHeight="1">
      <c r="A7" s="8" t="n"/>
      <c r="B7" s="8" t="n"/>
      <c r="C7" s="8" t="n"/>
      <c r="D7" s="8" t="n"/>
      <c r="E7" s="8" t="n"/>
      <c r="F7" s="8" t="n"/>
      <c r="G7" s="8" t="n"/>
    </row>
    <row r="8" ht="20" customHeight="1">
      <c r="A8" s="8" t="n"/>
      <c r="B8" s="8" t="n"/>
      <c r="C8" s="8" t="n"/>
      <c r="D8" s="8" t="n"/>
      <c r="E8" s="8" t="n"/>
      <c r="F8" s="8" t="n"/>
      <c r="G8" s="8" t="n"/>
    </row>
    <row r="9" ht="20" customHeight="1">
      <c r="A9" s="8" t="n"/>
      <c r="B9" s="8" t="n"/>
      <c r="C9" s="8" t="n"/>
      <c r="D9" s="8" t="n"/>
      <c r="E9" s="8" t="n"/>
      <c r="F9" s="8" t="n"/>
      <c r="G9" s="8" t="n"/>
    </row>
    <row r="10" ht="20" customHeight="1">
      <c r="A10" s="8" t="n"/>
      <c r="B10" s="8" t="n"/>
      <c r="C10" s="8" t="n"/>
      <c r="D10" s="8" t="n"/>
      <c r="E10" s="8" t="n"/>
      <c r="F10" s="8" t="n"/>
      <c r="G10" s="8" t="n"/>
    </row>
    <row r="11" ht="20" customHeight="1">
      <c r="A11" s="8" t="n"/>
      <c r="B11" s="8" t="n"/>
      <c r="C11" s="8" t="n"/>
      <c r="D11" s="8" t="n"/>
      <c r="E11" s="8" t="n"/>
      <c r="F11" s="8" t="n"/>
      <c r="G11" s="8" t="n"/>
    </row>
  </sheetData>
  <dataValidations count="1">
    <dataValidation sqref="G2:G11" showDropDown="0" showInputMessage="0" showErrorMessage="0" allowBlank="1" type="list">
      <formula1>"已关闭,整改中,打开"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4" customWidth="1" min="2" max="2"/>
    <col width="20" customWidth="1" min="3" max="3"/>
    <col width="14" customWidth="1" min="4" max="4"/>
  </cols>
  <sheetData>
    <row r="1">
      <c r="A1" s="7" t="inlineStr">
        <is>
          <t>✓</t>
        </is>
      </c>
      <c r="B1" s="7" t="inlineStr">
        <is>
          <t>确认项</t>
        </is>
      </c>
      <c r="C1" s="7" t="inlineStr">
        <is>
          <t>证据编号</t>
        </is>
      </c>
      <c r="D1" s="7" t="inlineStr">
        <is>
          <t>确认人</t>
        </is>
      </c>
    </row>
    <row r="2" ht="22" customHeight="1">
      <c r="A2" s="8" t="n"/>
      <c r="B2" s="8" t="inlineStr">
        <is>
          <t>SOP/WI 与检验标准已按试产问题更新</t>
        </is>
      </c>
      <c r="C2" s="8" t="n"/>
      <c r="D2" s="8" t="n"/>
    </row>
    <row r="3" ht="22" customHeight="1">
      <c r="A3" s="8" t="n"/>
      <c r="B3" s="8" t="inlineStr">
        <is>
          <t>治具 / EOL 测试程序验收通过，EOL 覆盖 100% 出货单元</t>
        </is>
      </c>
      <c r="C3" s="8" t="n"/>
      <c r="D3" s="8" t="n"/>
    </row>
    <row r="4" ht="22" customHeight="1">
      <c r="A4" s="8" t="n"/>
      <c r="B4" s="8" t="inlineStr">
        <is>
          <t>认证证据归档（UN38.3 / MSDS / 电芯认证）编号已登记</t>
        </is>
      </c>
      <c r="C4" s="8" t="n"/>
      <c r="D4" s="8" t="n"/>
    </row>
    <row r="5" ht="22" customHeight="1">
      <c r="A5" s="8" t="n"/>
      <c r="B5" s="8" t="inlineStr">
        <is>
          <t>版本切换与库存处理方案已签核</t>
        </is>
      </c>
      <c r="C5" s="8" t="n"/>
      <c r="D5" s="8" t="n"/>
    </row>
    <row r="6" ht="22" customHeight="1">
      <c r="A6" s="8" t="n"/>
      <c r="B6" s="8" t="inlineStr">
        <is>
          <t>P0/P1 问题全部关闭</t>
        </is>
      </c>
      <c r="C6" s="8" t="n"/>
      <c r="D6" s="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2026-07-10T04:58:22Z</dcterms:created>
  <dcterms:modified xsi:type="dcterms:W3CDTF">2026-07-10T04:58:22Z</dcterms:modified>
</cp:coreProperties>
</file>