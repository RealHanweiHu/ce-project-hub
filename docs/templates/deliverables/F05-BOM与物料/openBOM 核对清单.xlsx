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表" sheetId="1" state="visible" r:id="rId1"/>
    <sheet name="差异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24" customWidth="1" min="4" max="4"/>
    <col width="8" customWidth="1" min="5" max="5"/>
    <col width="8" customWidth="1" min="6" max="6"/>
    <col width="16" customWidth="1" min="7" max="7"/>
    <col width="10" customWidth="1" min="8" max="8"/>
    <col width="12" customWidth="1" min="9" max="9"/>
    <col width="10" customWidth="1" min="10" max="10"/>
    <col width="16" customWidth="1" min="11" max="11"/>
  </cols>
  <sheetData>
    <row r="1" ht="30" customHeight="1">
      <c r="A1" s="1" t="inlineStr">
        <is>
          <t>openBOM 核对清单</t>
        </is>
      </c>
    </row>
    <row r="2">
      <c r="A2" s="2" t="inlineStr">
        <is>
          <t>F05 BOM与物料 · 适用：OBT·P1</t>
        </is>
      </c>
    </row>
    <row r="3">
      <c r="A3" s="3" t="inlineStr">
        <is>
          <t>状态列用下拉（新增/替换/停用/复用）；金额自动计算，「差异汇总」自动计数。</t>
        </is>
      </c>
    </row>
    <row r="4" ht="22" customHeight="1">
      <c r="A4" s="4" t="inlineStr">
        <is>
          <t>项目编号</t>
        </is>
      </c>
      <c r="B4" s="5" t="n"/>
      <c r="C4" s="4" t="inlineStr">
        <is>
          <t>项目名称</t>
        </is>
      </c>
      <c r="D4" s="5" t="n"/>
      <c r="E4" s="4" t="inlineStr">
        <is>
          <t>负责人</t>
        </is>
      </c>
      <c r="F4" s="5" t="n"/>
      <c r="G4" s="4" t="inlineStr">
        <is>
          <t>日期</t>
        </is>
      </c>
      <c r="H4" s="5" t="n"/>
      <c r="I4" s="5" t="n"/>
      <c r="J4" s="5" t="n"/>
      <c r="K4" s="5" t="n"/>
    </row>
    <row r="6">
      <c r="A6" s="6" t="inlineStr">
        <is>
          <t>阶层</t>
        </is>
      </c>
      <c r="B6" s="6" t="inlineStr">
        <is>
          <t>料号</t>
        </is>
      </c>
      <c r="C6" s="6" t="inlineStr">
        <is>
          <t>品名</t>
        </is>
      </c>
      <c r="D6" s="6" t="inlineStr">
        <is>
          <t>规格</t>
        </is>
      </c>
      <c r="E6" s="6" t="inlineStr">
        <is>
          <t>用量</t>
        </is>
      </c>
      <c r="F6" s="6" t="inlineStr">
        <is>
          <t>单位</t>
        </is>
      </c>
      <c r="G6" s="6" t="inlineStr">
        <is>
          <t>供应商</t>
        </is>
      </c>
      <c r="H6" s="6" t="inlineStr">
        <is>
          <t>单价</t>
        </is>
      </c>
      <c r="I6" s="6" t="inlineStr">
        <is>
          <t>金额</t>
        </is>
      </c>
      <c r="J6" s="6" t="inlineStr">
        <is>
          <t>状态</t>
        </is>
      </c>
      <c r="K6" s="6" t="inlineStr">
        <is>
          <t>备注</t>
        </is>
      </c>
    </row>
    <row r="7" ht="20" customHeight="1">
      <c r="A7" s="7" t="n">
        <v>1</v>
      </c>
      <c r="B7" s="7" t="inlineStr">
        <is>
          <t>BP-CELL-21700</t>
        </is>
      </c>
      <c r="C7" s="7" t="inlineStr">
        <is>
          <t>电芯</t>
        </is>
      </c>
      <c r="D7" s="7" t="inlineStr">
        <is>
          <t>21700 4000mAh</t>
        </is>
      </c>
      <c r="E7" s="7" t="n">
        <v>2</v>
      </c>
      <c r="F7" s="7" t="inlineStr">
        <is>
          <t>PCS</t>
        </is>
      </c>
      <c r="G7" s="7" t="inlineStr">
        <is>
          <t>供应商A</t>
        </is>
      </c>
      <c r="H7" s="7" t="n">
        <v>12.5</v>
      </c>
      <c r="I7" s="7">
        <f>IF(OR(E7="",H7=""),"",E7*H7)</f>
        <v/>
      </c>
      <c r="J7" s="7" t="inlineStr">
        <is>
          <t>复用</t>
        </is>
      </c>
      <c r="K7" s="7" t="inlineStr">
        <is>
          <t>示例行，覆盖填写</t>
        </is>
      </c>
    </row>
    <row r="8" ht="18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>
        <f>IF(OR(E8="",H8=""),"",E8*H8)</f>
        <v/>
      </c>
      <c r="J8" s="8" t="n"/>
      <c r="K8" s="8" t="n"/>
    </row>
    <row r="9" ht="18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>
        <f>IF(OR(E9="",H9=""),"",E9*H9)</f>
        <v/>
      </c>
      <c r="J9" s="8" t="n"/>
      <c r="K9" s="8" t="n"/>
    </row>
    <row r="10" ht="18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>
        <f>IF(OR(E10="",H10=""),"",E10*H10)</f>
        <v/>
      </c>
      <c r="J10" s="8" t="n"/>
      <c r="K10" s="8" t="n"/>
    </row>
    <row r="11" ht="1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>
        <f>IF(OR(E11="",H11=""),"",E11*H11)</f>
        <v/>
      </c>
      <c r="J11" s="8" t="n"/>
      <c r="K11" s="8" t="n"/>
    </row>
    <row r="12" ht="1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>
        <f>IF(OR(E12="",H12=""),"",E12*H12)</f>
        <v/>
      </c>
      <c r="J12" s="8" t="n"/>
      <c r="K12" s="8" t="n"/>
    </row>
    <row r="13" ht="1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>
        <f>IF(OR(E13="",H13=""),"",E13*H13)</f>
        <v/>
      </c>
      <c r="J13" s="8" t="n"/>
      <c r="K13" s="8" t="n"/>
    </row>
    <row r="14" ht="1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>
        <f>IF(OR(E14="",H14=""),"",E14*H14)</f>
        <v/>
      </c>
      <c r="J14" s="8" t="n"/>
      <c r="K14" s="8" t="n"/>
    </row>
    <row r="15" ht="1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>
        <f>IF(OR(E15="",H15=""),"",E15*H15)</f>
        <v/>
      </c>
      <c r="J15" s="8" t="n"/>
      <c r="K15" s="8" t="n"/>
    </row>
    <row r="16" ht="1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>
        <f>IF(OR(E16="",H16=""),"",E16*H16)</f>
        <v/>
      </c>
      <c r="J16" s="8" t="n"/>
      <c r="K16" s="8" t="n"/>
    </row>
    <row r="17" ht="1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>
        <f>IF(OR(E17="",H17=""),"",E17*H17)</f>
        <v/>
      </c>
      <c r="J17" s="8" t="n"/>
      <c r="K17" s="8" t="n"/>
    </row>
    <row r="18" ht="1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>
        <f>IF(OR(E18="",H18=""),"",E18*H18)</f>
        <v/>
      </c>
      <c r="J18" s="8" t="n"/>
      <c r="K18" s="8" t="n"/>
    </row>
    <row r="19" ht="1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>
        <f>IF(OR(E19="",H19=""),"",E19*H19)</f>
        <v/>
      </c>
      <c r="J19" s="8" t="n"/>
      <c r="K19" s="8" t="n"/>
    </row>
    <row r="20" ht="1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>
        <f>IF(OR(E20="",H20=""),"",E20*H20)</f>
        <v/>
      </c>
      <c r="J20" s="8" t="n"/>
      <c r="K20" s="8" t="n"/>
    </row>
    <row r="21" ht="1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>
        <f>IF(OR(E21="",H21=""),"",E21*H21)</f>
        <v/>
      </c>
      <c r="J21" s="8" t="n"/>
      <c r="K21" s="8" t="n"/>
    </row>
    <row r="22" ht="1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>
        <f>IF(OR(E22="",H22=""),"",E22*H22)</f>
        <v/>
      </c>
      <c r="J22" s="8" t="n"/>
      <c r="K22" s="8" t="n"/>
    </row>
    <row r="23" ht="1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>
        <f>IF(OR(E23="",H23=""),"",E23*H23)</f>
        <v/>
      </c>
      <c r="J23" s="8" t="n"/>
      <c r="K23" s="8" t="n"/>
    </row>
    <row r="24" ht="1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>
        <f>IF(OR(E24="",H24=""),"",E24*H24)</f>
        <v/>
      </c>
      <c r="J24" s="8" t="n"/>
      <c r="K24" s="8" t="n"/>
    </row>
    <row r="25" ht="1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>
        <f>IF(OR(E25="",H25=""),"",E25*H25)</f>
        <v/>
      </c>
      <c r="J25" s="8" t="n"/>
      <c r="K25" s="8" t="n"/>
    </row>
    <row r="26" ht="1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>
        <f>IF(OR(E26="",H26=""),"",E26*H26)</f>
        <v/>
      </c>
      <c r="J26" s="8" t="n"/>
      <c r="K26" s="8" t="n"/>
    </row>
    <row r="27" ht="1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>
        <f>IF(OR(E27="",H27=""),"",E27*H27)</f>
        <v/>
      </c>
      <c r="J27" s="8" t="n"/>
      <c r="K27" s="8" t="n"/>
    </row>
    <row r="28" ht="1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>
        <f>IF(OR(E28="",H28=""),"",E28*H28)</f>
        <v/>
      </c>
      <c r="J28" s="8" t="n"/>
      <c r="K28" s="8" t="n"/>
    </row>
    <row r="29" ht="1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>
        <f>IF(OR(E29="",H29=""),"",E29*H29)</f>
        <v/>
      </c>
      <c r="J29" s="8" t="n"/>
      <c r="K29" s="8" t="n"/>
    </row>
    <row r="30" ht="1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>
        <f>IF(OR(E30="",H30=""),"",E30*H30)</f>
        <v/>
      </c>
      <c r="J30" s="8" t="n"/>
      <c r="K30" s="8" t="n"/>
    </row>
    <row r="31" ht="1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>
        <f>IF(OR(E31="",H31=""),"",E31*H31)</f>
        <v/>
      </c>
      <c r="J31" s="8" t="n"/>
      <c r="K31" s="8" t="n"/>
    </row>
    <row r="32" ht="1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>
        <f>IF(OR(E32="",H32=""),"",E32*H32)</f>
        <v/>
      </c>
      <c r="J32" s="8" t="n"/>
      <c r="K32" s="8" t="n"/>
    </row>
    <row r="33" ht="1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>
        <f>IF(OR(E33="",H33=""),"",E33*H33)</f>
        <v/>
      </c>
      <c r="J33" s="8" t="n"/>
      <c r="K33" s="8" t="n"/>
    </row>
    <row r="34" ht="1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>
        <f>IF(OR(E34="",H34=""),"",E34*H34)</f>
        <v/>
      </c>
      <c r="J34" s="8" t="n"/>
      <c r="K34" s="8" t="n"/>
    </row>
    <row r="35" ht="1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>
        <f>IF(OR(E35="",H35=""),"",E35*H35)</f>
        <v/>
      </c>
      <c r="J35" s="8" t="n"/>
      <c r="K35" s="8" t="n"/>
    </row>
    <row r="36" ht="1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>
        <f>IF(OR(E36="",H36=""),"",E36*H36)</f>
        <v/>
      </c>
      <c r="J36" s="8" t="n"/>
      <c r="K36" s="8" t="n"/>
    </row>
    <row r="37" ht="1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>
        <f>IF(OR(E37="",H37=""),"",E37*H37)</f>
        <v/>
      </c>
      <c r="J37" s="8" t="n"/>
      <c r="K37" s="8" t="n"/>
    </row>
    <row r="38" ht="1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>
        <f>IF(OR(E38="",H38=""),"",E38*H38)</f>
        <v/>
      </c>
      <c r="J38" s="8" t="n"/>
      <c r="K38" s="8" t="n"/>
    </row>
    <row r="39" ht="1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>
        <f>IF(OR(E39="",H39=""),"",E39*H39)</f>
        <v/>
      </c>
      <c r="J39" s="8" t="n"/>
      <c r="K39" s="8" t="n"/>
    </row>
    <row r="40" ht="1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>
        <f>IF(OR(E40="",H40=""),"",E40*H40)</f>
        <v/>
      </c>
      <c r="J40" s="8" t="n"/>
      <c r="K40" s="8" t="n"/>
    </row>
    <row r="41" ht="1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>
        <f>IF(OR(E41="",H41=""),"",E41*H41)</f>
        <v/>
      </c>
      <c r="J41" s="8" t="n"/>
      <c r="K41" s="8" t="n"/>
    </row>
    <row r="42">
      <c r="H42" s="9" t="inlineStr">
        <is>
          <t>合计</t>
        </is>
      </c>
      <c r="I42" s="10">
        <f>SUM(I7:I41)</f>
        <v/>
      </c>
    </row>
  </sheetData>
  <mergeCells count="7">
    <mergeCell ref="H4:K4"/>
    <mergeCell ref="D4"/>
    <mergeCell ref="B4"/>
    <mergeCell ref="A3:K3"/>
    <mergeCell ref="F4"/>
    <mergeCell ref="A2:K2"/>
    <mergeCell ref="A1:K1"/>
  </mergeCells>
  <dataValidations count="1">
    <dataValidation sqref="J7:J41" showDropDown="0" showInputMessage="0" showErrorMessage="0" allowBlank="1" type="list">
      <formula1>"新增,替换,停用,复用"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0" customWidth="1" min="3" max="3"/>
  </cols>
  <sheetData>
    <row r="1">
      <c r="A1" s="6" t="inlineStr">
        <is>
          <t>状态</t>
        </is>
      </c>
      <c r="B1" s="6" t="inlineStr">
        <is>
          <t>行数</t>
        </is>
      </c>
      <c r="C1" s="6" t="inlineStr">
        <is>
          <t>说明</t>
        </is>
      </c>
    </row>
    <row r="2">
      <c r="A2" s="4" t="inlineStr">
        <is>
          <t>新增</t>
        </is>
      </c>
      <c r="B2" s="11">
        <f>COUNTIF(BOM表!J:J,"新增")</f>
        <v/>
      </c>
      <c r="C2" s="12" t="inlineStr"/>
    </row>
    <row r="3">
      <c r="A3" s="4" t="inlineStr">
        <is>
          <t>替换</t>
        </is>
      </c>
      <c r="B3" s="11">
        <f>COUNTIF(BOM表!J:J,"替换")</f>
        <v/>
      </c>
      <c r="C3" s="12" t="inlineStr"/>
    </row>
    <row r="4">
      <c r="A4" s="4" t="inlineStr">
        <is>
          <t>停用</t>
        </is>
      </c>
      <c r="B4" s="11">
        <f>COUNTIF(BOM表!J:J,"停用")</f>
        <v/>
      </c>
      <c r="C4" s="12" t="inlineStr"/>
    </row>
    <row r="5">
      <c r="A5" s="4" t="inlineStr">
        <is>
          <t>复用</t>
        </is>
      </c>
      <c r="B5" s="11">
        <f>COUNTIF(BOM表!J:J,"复用")</f>
        <v/>
      </c>
      <c r="C5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